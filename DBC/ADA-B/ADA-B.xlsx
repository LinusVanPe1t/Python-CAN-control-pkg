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NB37\Downloads\"/>
    </mc:Choice>
  </mc:AlternateContent>
  <xr:revisionPtr revIDLastSave="0" documentId="13_ncr:1_{A5576228-6D85-470A-9CFE-9D84003F6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A-B 브레이크 액츄에이터 컨트롤러 CAN통신 정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2" l="1"/>
  <c r="J51" i="2"/>
  <c r="K50" i="2"/>
  <c r="J50" i="2"/>
  <c r="K49" i="2"/>
  <c r="J49" i="2"/>
  <c r="K48" i="2"/>
  <c r="J48" i="2"/>
  <c r="K47" i="2"/>
  <c r="J47" i="2"/>
  <c r="K15" i="2"/>
  <c r="J15" i="2"/>
  <c r="K23" i="2"/>
  <c r="J23" i="2"/>
  <c r="K22" i="2"/>
  <c r="J22" i="2"/>
  <c r="J14" i="2"/>
  <c r="K14" i="2"/>
</calcChain>
</file>

<file path=xl/sharedStrings.xml><?xml version="1.0" encoding="utf-8"?>
<sst xmlns="http://schemas.openxmlformats.org/spreadsheetml/2006/main" count="205" uniqueCount="137">
  <si>
    <t>Byte.Bit</t>
    <phoneticPr fontId="4" type="noConversion"/>
  </si>
  <si>
    <t>Cycle
Time(ms)</t>
    <phoneticPr fontId="4" type="noConversion"/>
  </si>
  <si>
    <t>Source</t>
    <phoneticPr fontId="4" type="noConversion"/>
  </si>
  <si>
    <t>Destination</t>
    <phoneticPr fontId="4" type="noConversion"/>
  </si>
  <si>
    <t>Signal Name</t>
    <phoneticPr fontId="4" type="noConversion"/>
  </si>
  <si>
    <t>Min</t>
    <phoneticPr fontId="4" type="noConversion"/>
  </si>
  <si>
    <t>Max</t>
    <phoneticPr fontId="4" type="noConversion"/>
  </si>
  <si>
    <t>Default</t>
    <phoneticPr fontId="4" type="noConversion"/>
  </si>
  <si>
    <t>Resolution</t>
    <phoneticPr fontId="4" type="noConversion"/>
  </si>
  <si>
    <t>Offset</t>
    <phoneticPr fontId="4" type="noConversion"/>
  </si>
  <si>
    <t>Unit</t>
    <phoneticPr fontId="4" type="noConversion"/>
  </si>
  <si>
    <t>Description</t>
    <phoneticPr fontId="4" type="noConversion"/>
  </si>
  <si>
    <t>Remark</t>
    <phoneticPr fontId="4" type="noConversion"/>
  </si>
  <si>
    <t>-</t>
    <phoneticPr fontId="4" type="noConversion"/>
  </si>
  <si>
    <t>Bit
Length</t>
    <phoneticPr fontId="4" type="noConversion"/>
  </si>
  <si>
    <t>ID
(Ex. ID)</t>
    <phoneticPr fontId="4" type="noConversion"/>
  </si>
  <si>
    <t>2.0</t>
    <phoneticPr fontId="4" type="noConversion"/>
  </si>
  <si>
    <t>DLC</t>
    <phoneticPr fontId="4" type="noConversion"/>
  </si>
  <si>
    <t>target_pos</t>
    <phoneticPr fontId="4" type="noConversion"/>
  </si>
  <si>
    <t>0.0</t>
    <phoneticPr fontId="4" type="noConversion"/>
  </si>
  <si>
    <t>SON</t>
  </si>
  <si>
    <t>PC</t>
  </si>
  <si>
    <t>TL</t>
  </si>
  <si>
    <t>RES</t>
  </si>
  <si>
    <t>CR</t>
  </si>
  <si>
    <t>EMG</t>
  </si>
  <si>
    <t>LSP</t>
  </si>
  <si>
    <t>LSN</t>
  </si>
  <si>
    <t>LOP</t>
  </si>
  <si>
    <t>DO1</t>
  </si>
  <si>
    <t>DO2</t>
  </si>
  <si>
    <t>TLA</t>
  </si>
  <si>
    <t>100/255</t>
    <phoneticPr fontId="4" type="noConversion"/>
  </si>
  <si>
    <t>%</t>
    <phoneticPr fontId="4" type="noConversion"/>
  </si>
  <si>
    <t>motor torque limit</t>
    <phoneticPr fontId="4" type="noConversion"/>
  </si>
  <si>
    <t>encoder_pos</t>
  </si>
  <si>
    <t>servo_abs_pos</t>
  </si>
  <si>
    <t>INP</t>
  </si>
  <si>
    <t>ZSP</t>
  </si>
  <si>
    <t>TLC</t>
  </si>
  <si>
    <t>ALM</t>
  </si>
  <si>
    <t>RD</t>
  </si>
  <si>
    <t>diag_enable</t>
  </si>
  <si>
    <t>encoder_update</t>
  </si>
  <si>
    <t>reset</t>
  </si>
  <si>
    <t>pulse</t>
  </si>
  <si>
    <t>rs422_error_state</t>
  </si>
  <si>
    <t>rs422_error_count</t>
  </si>
  <si>
    <t>can_error_count</t>
  </si>
  <si>
    <t>rs422_recv_count</t>
  </si>
  <si>
    <t>res422_recv_timeout</t>
  </si>
  <si>
    <t>loop_count</t>
  </si>
  <si>
    <t>fsm_state_id</t>
  </si>
  <si>
    <t>last_forward_pulse</t>
  </si>
  <si>
    <t>last_backward_pulse</t>
  </si>
  <si>
    <t>encoder_offset</t>
  </si>
  <si>
    <t>0.2</t>
  </si>
  <si>
    <t>0.2</t>
    <phoneticPr fontId="4" type="noConversion"/>
  </si>
  <si>
    <t>0.0</t>
    <phoneticPr fontId="4" type="noConversion"/>
  </si>
  <si>
    <t>1.2</t>
  </si>
  <si>
    <t>1.2</t>
    <phoneticPr fontId="4" type="noConversion"/>
  </si>
  <si>
    <t>1.1</t>
  </si>
  <si>
    <t>1.1</t>
    <phoneticPr fontId="4" type="noConversion"/>
  </si>
  <si>
    <t>0.1</t>
  </si>
  <si>
    <t>0.1</t>
    <phoneticPr fontId="4" type="noConversion"/>
  </si>
  <si>
    <t>0.3</t>
  </si>
  <si>
    <t>0.3</t>
    <phoneticPr fontId="4" type="noConversion"/>
  </si>
  <si>
    <t>0.4</t>
  </si>
  <si>
    <t>0.5</t>
  </si>
  <si>
    <t>0.6</t>
  </si>
  <si>
    <t>0.7</t>
  </si>
  <si>
    <t>1.0</t>
    <phoneticPr fontId="4" type="noConversion"/>
  </si>
  <si>
    <t>2.0</t>
    <phoneticPr fontId="4" type="noConversion"/>
  </si>
  <si>
    <t>reserved</t>
  </si>
  <si>
    <t>reserved</t>
    <phoneticPr fontId="4" type="noConversion"/>
  </si>
  <si>
    <t>absolute position clear command</t>
    <phoneticPr fontId="4" type="noConversion"/>
  </si>
  <si>
    <t>driver reset command</t>
    <phoneticPr fontId="4" type="noConversion"/>
  </si>
  <si>
    <t>4.0</t>
    <phoneticPr fontId="4" type="noConversion"/>
  </si>
  <si>
    <t>1.0</t>
    <phoneticPr fontId="4" type="noConversion"/>
  </si>
  <si>
    <t>2.1</t>
    <phoneticPr fontId="4" type="noConversion"/>
  </si>
  <si>
    <t>2.2</t>
    <phoneticPr fontId="4" type="noConversion"/>
  </si>
  <si>
    <t>2.3</t>
    <phoneticPr fontId="4" type="noConversion"/>
  </si>
  <si>
    <t>2.4</t>
  </si>
  <si>
    <t>zero speed state (0: motor run, 1: motor stop)</t>
    <phoneticPr fontId="4" type="noConversion"/>
  </si>
  <si>
    <t>in-position state(0: angle control activate ,1: angle control complete)</t>
    <phoneticPr fontId="4" type="noConversion"/>
  </si>
  <si>
    <t>driver torque limit state (0: normal, 1: max torque)</t>
    <phoneticPr fontId="4" type="noConversion"/>
  </si>
  <si>
    <t>driver warning state (0: fault, 1: normal)</t>
    <phoneticPr fontId="4" type="noConversion"/>
  </si>
  <si>
    <t>driver ready state (0: fault, 1: normal)</t>
    <phoneticPr fontId="4" type="noConversion"/>
  </si>
  <si>
    <t>driver reset command monitor</t>
    <phoneticPr fontId="4" type="noConversion"/>
  </si>
  <si>
    <t>absolute position clear command monitor</t>
    <phoneticPr fontId="4" type="noConversion"/>
  </si>
  <si>
    <t>actuator enable command monitor</t>
    <phoneticPr fontId="4" type="noConversion"/>
  </si>
  <si>
    <t>driver communication error counter</t>
    <phoneticPr fontId="4" type="noConversion"/>
  </si>
  <si>
    <t>CAN communication error counter</t>
    <phoneticPr fontId="4" type="noConversion"/>
  </si>
  <si>
    <t>3.0</t>
    <phoneticPr fontId="4" type="noConversion"/>
  </si>
  <si>
    <t>4.0</t>
    <phoneticPr fontId="4" type="noConversion"/>
  </si>
  <si>
    <t>5.0</t>
    <phoneticPr fontId="4" type="noConversion"/>
  </si>
  <si>
    <t>6.0</t>
    <phoneticPr fontId="4" type="noConversion"/>
  </si>
  <si>
    <t>alive counter(rolling counter)</t>
    <phoneticPr fontId="4" type="noConversion"/>
  </si>
  <si>
    <t>driver communication counter</t>
    <phoneticPr fontId="4" type="noConversion"/>
  </si>
  <si>
    <t>driver communication timeout error counter</t>
    <phoneticPr fontId="4" type="noConversion"/>
  </si>
  <si>
    <t>0x106 message activation (0: message off, 1: message on)</t>
    <phoneticPr fontId="4" type="noConversion"/>
  </si>
  <si>
    <t>sync absolute position to encoder position</t>
    <phoneticPr fontId="4" type="noConversion"/>
  </si>
  <si>
    <t>controller reset</t>
    <phoneticPr fontId="4" type="noConversion"/>
  </si>
  <si>
    <t>refer to state diagram</t>
    <phoneticPr fontId="4" type="noConversion"/>
  </si>
  <si>
    <t>normaly increase like alive counter</t>
    <phoneticPr fontId="4" type="noConversion"/>
  </si>
  <si>
    <t>when this value is increasing, 
check rj45 cable connection</t>
    <phoneticPr fontId="4" type="noConversion"/>
  </si>
  <si>
    <t>0x200</t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</si>
  <si>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01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</si>
  <si>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02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</si>
  <si>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04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</si>
  <si>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03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</si>
  <si>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05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</si>
  <si>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06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</si>
  <si>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07</t>
    </r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</si>
  <si>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08</t>
    </r>
    <phoneticPr fontId="4" type="noConversion"/>
  </si>
  <si>
    <t>ADA-B</t>
    <phoneticPr fontId="4" type="noConversion"/>
  </si>
  <si>
    <r>
      <t>ADA-</t>
    </r>
    <r>
      <rPr>
        <sz val="11"/>
        <color theme="1"/>
        <rFont val="맑은 고딕"/>
        <family val="2"/>
        <charset val="129"/>
        <scheme val="minor"/>
      </rPr>
      <t>B</t>
    </r>
    <phoneticPr fontId="4" type="noConversion"/>
  </si>
  <si>
    <r>
      <t>ADA-</t>
    </r>
    <r>
      <rPr>
        <sz val="11"/>
        <color theme="1"/>
        <rFont val="맑은 고딕"/>
        <family val="2"/>
        <charset val="129"/>
        <scheme val="minor"/>
      </rPr>
      <t>B</t>
    </r>
    <phoneticPr fontId="4" type="noConversion"/>
  </si>
  <si>
    <t>ADA-B</t>
    <phoneticPr fontId="4" type="noConversion"/>
  </si>
  <si>
    <t>mm</t>
    <phoneticPr fontId="4" type="noConversion"/>
  </si>
  <si>
    <t>1/100</t>
    <phoneticPr fontId="4" type="noConversion"/>
  </si>
  <si>
    <t>pedal stroke command</t>
    <phoneticPr fontId="4" type="noConversion"/>
  </si>
  <si>
    <t>pedal stroke feedback</t>
    <phoneticPr fontId="4" type="noConversion"/>
  </si>
  <si>
    <t>pedal stroke feedback (absolute position)</t>
    <phoneticPr fontId="4" type="noConversion"/>
  </si>
  <si>
    <t>actuator enable command(0: stop, 1: stroke control)</t>
    <phoneticPr fontId="4" type="noConversion"/>
  </si>
  <si>
    <t>return_flag</t>
    <phoneticPr fontId="4" type="noConversion"/>
  </si>
  <si>
    <t>return_pulse_per_10ms</t>
    <phoneticPr fontId="4" type="noConversion"/>
  </si>
  <si>
    <t>pos_lim_flag</t>
    <phoneticPr fontId="4" type="noConversion"/>
  </si>
  <si>
    <t>controller state
0: start
1: wait driver ready
2: read absolute position 
3: free wheeing
4: wait RD on
5: position control
6: warning
7:ReturnToHomePosition
8:WaitReturnComplete</t>
    <phoneticPr fontId="4" type="noConversion"/>
  </si>
  <si>
    <t>return to home function enable (0: disable 1: enable)</t>
    <phoneticPr fontId="4" type="noConversion"/>
  </si>
  <si>
    <t>set return to home speed</t>
    <phoneticPr fontId="4" type="noConversion"/>
  </si>
  <si>
    <t>min - max position linit enable (0: disable 1: enable)</t>
    <phoneticPr fontId="4" type="noConversion"/>
  </si>
  <si>
    <r>
      <t>0x</t>
    </r>
    <r>
      <rPr>
        <sz val="11"/>
        <color theme="1"/>
        <rFont val="맑은 고딕"/>
        <family val="2"/>
        <charset val="129"/>
        <scheme val="minor"/>
      </rPr>
      <t>209</t>
    </r>
    <phoneticPr fontId="4" type="noConversion"/>
  </si>
  <si>
    <t>limit_min</t>
    <phoneticPr fontId="4" type="noConversion"/>
  </si>
  <si>
    <t>limit_max</t>
    <phoneticPr fontId="4" type="noConversion"/>
  </si>
  <si>
    <t>set lower limit (pos)</t>
    <phoneticPr fontId="4" type="noConversion"/>
  </si>
  <si>
    <t>set upper limit (pos)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</si>
</sst>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336177</xdr:colOff>
      <xdr:row>2</xdr:row>
      <xdr:rowOff>56029</xdr:rowOff>
    </xdr:from>
    <xdr:to>
      <xdr:col>30</xdr:col>
      <xdr:colOff>449912</xdr:colOff>
      <xdr:row>95</xdr:row>
      <xdr:rowOff>102568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460C6A-6D38-605C-524E-582A941D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5059" y="896470"/>
          <a:ext cx="9000000" cy="22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1"/>
  <sheetViews>
    <sheetView tabSelected="1" zoomScale="85" zoomScaleNormal="85" workbookViewId="0">
      <pane ySplit="1" topLeftCell="A2" activePane="bottomLeft" state="frozen"/>
      <selection pane="bottomLeft" activeCell="M55" sqref="M55"/>
    </sheetView>
  </sheetViews>
  <sheetFormatPr defaultRowHeight="16.5" x14ac:dyDescent="0.3"/>
  <cols>
    <col min="1" max="1" width="3.25" customWidth="1"/>
    <col min="2" max="2" width="11.875" customWidth="1"/>
    <col min="4" max="4" width="9.125" customWidth="1"/>
    <col min="5" max="5" width="11.375" bestFit="1" customWidth="1"/>
    <col min="7" max="7" width="9.375" customWidth="1"/>
    <col min="8" max="8" width="7.75" customWidth="1"/>
    <col min="9" max="9" width="29.5" bestFit="1" customWidth="1"/>
    <col min="10" max="10" width="13.125" bestFit="1" customWidth="1"/>
    <col min="11" max="11" width="12.125" bestFit="1" customWidth="1"/>
    <col min="12" max="12" width="8.25" bestFit="1" customWidth="1"/>
    <col min="13" max="13" width="10.5" bestFit="1" customWidth="1"/>
    <col min="14" max="14" width="6.625" bestFit="1" customWidth="1"/>
    <col min="15" max="15" width="6.5" bestFit="1" customWidth="1"/>
    <col min="16" max="16" width="67" customWidth="1"/>
    <col min="17" max="17" width="37.75" bestFit="1" customWidth="1"/>
  </cols>
  <sheetData>
    <row r="1" spans="2:17" ht="49.5" x14ac:dyDescent="0.3">
      <c r="B1" s="4" t="s">
        <v>15</v>
      </c>
      <c r="C1" s="4" t="s">
        <v>1</v>
      </c>
      <c r="D1" s="5" t="s">
        <v>2</v>
      </c>
      <c r="E1" s="5" t="s">
        <v>3</v>
      </c>
      <c r="F1" s="4" t="s">
        <v>17</v>
      </c>
      <c r="G1" s="5" t="s">
        <v>0</v>
      </c>
      <c r="H1" s="4" t="s">
        <v>14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</row>
    <row r="2" spans="2:17" x14ac:dyDescent="0.3">
      <c r="B2" s="10" t="s">
        <v>106</v>
      </c>
      <c r="C2" s="10"/>
      <c r="D2" s="10"/>
      <c r="E2" s="10" t="s">
        <v>118</v>
      </c>
      <c r="F2" s="10">
        <v>3</v>
      </c>
      <c r="G2" s="2" t="s">
        <v>58</v>
      </c>
      <c r="H2" s="3">
        <v>1</v>
      </c>
      <c r="I2" s="1" t="s">
        <v>20</v>
      </c>
      <c r="J2" s="3">
        <v>0</v>
      </c>
      <c r="K2" s="3">
        <v>1</v>
      </c>
      <c r="L2" s="3">
        <v>0</v>
      </c>
      <c r="M2" s="3">
        <v>1</v>
      </c>
      <c r="N2" s="3">
        <v>0</v>
      </c>
      <c r="O2" s="3"/>
      <c r="P2" s="1" t="s">
        <v>124</v>
      </c>
      <c r="Q2" s="1"/>
    </row>
    <row r="3" spans="2:17" x14ac:dyDescent="0.3">
      <c r="B3" s="11"/>
      <c r="C3" s="11"/>
      <c r="D3" s="11"/>
      <c r="E3" s="11"/>
      <c r="F3" s="11"/>
      <c r="G3" s="2" t="s">
        <v>64</v>
      </c>
      <c r="H3" s="3">
        <v>1</v>
      </c>
      <c r="I3" s="1" t="s">
        <v>21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/>
      <c r="P3" s="7" t="s">
        <v>73</v>
      </c>
      <c r="Q3" s="1"/>
    </row>
    <row r="4" spans="2:17" x14ac:dyDescent="0.3">
      <c r="B4" s="11"/>
      <c r="C4" s="11"/>
      <c r="D4" s="11"/>
      <c r="E4" s="11"/>
      <c r="F4" s="11"/>
      <c r="G4" s="2" t="s">
        <v>57</v>
      </c>
      <c r="H4" s="3">
        <v>1</v>
      </c>
      <c r="I4" s="1" t="s">
        <v>22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/>
      <c r="P4" s="7" t="s">
        <v>73</v>
      </c>
      <c r="Q4" s="1"/>
    </row>
    <row r="5" spans="2:17" x14ac:dyDescent="0.3">
      <c r="B5" s="11"/>
      <c r="C5" s="11"/>
      <c r="D5" s="11"/>
      <c r="E5" s="11"/>
      <c r="F5" s="11"/>
      <c r="G5" s="2" t="s">
        <v>66</v>
      </c>
      <c r="H5" s="3">
        <v>1</v>
      </c>
      <c r="I5" s="1" t="s">
        <v>23</v>
      </c>
      <c r="J5" s="3">
        <v>0</v>
      </c>
      <c r="K5" s="3">
        <v>1</v>
      </c>
      <c r="L5" s="3">
        <v>0</v>
      </c>
      <c r="M5" s="3">
        <v>1</v>
      </c>
      <c r="N5" s="3">
        <v>0</v>
      </c>
      <c r="O5" s="3"/>
      <c r="P5" s="1" t="s">
        <v>76</v>
      </c>
      <c r="Q5" s="1"/>
    </row>
    <row r="6" spans="2:17" x14ac:dyDescent="0.3">
      <c r="B6" s="11"/>
      <c r="C6" s="11"/>
      <c r="D6" s="11"/>
      <c r="E6" s="11"/>
      <c r="F6" s="11"/>
      <c r="G6" s="2" t="s">
        <v>67</v>
      </c>
      <c r="H6" s="3">
        <v>1</v>
      </c>
      <c r="I6" s="1" t="s">
        <v>24</v>
      </c>
      <c r="J6" s="3">
        <v>0</v>
      </c>
      <c r="K6" s="3">
        <v>1</v>
      </c>
      <c r="L6" s="3">
        <v>0</v>
      </c>
      <c r="M6" s="3">
        <v>1</v>
      </c>
      <c r="N6" s="3">
        <v>0</v>
      </c>
      <c r="O6" s="3"/>
      <c r="P6" s="1" t="s">
        <v>75</v>
      </c>
      <c r="Q6" s="1"/>
    </row>
    <row r="7" spans="2:17" x14ac:dyDescent="0.3">
      <c r="B7" s="11"/>
      <c r="C7" s="11"/>
      <c r="D7" s="11"/>
      <c r="E7" s="11"/>
      <c r="F7" s="11"/>
      <c r="G7" s="2" t="s">
        <v>68</v>
      </c>
      <c r="H7" s="3">
        <v>1</v>
      </c>
      <c r="I7" s="1" t="s">
        <v>25</v>
      </c>
      <c r="J7" s="3">
        <v>0</v>
      </c>
      <c r="K7" s="3">
        <v>1</v>
      </c>
      <c r="L7" s="3">
        <v>1</v>
      </c>
      <c r="M7" s="3">
        <v>1</v>
      </c>
      <c r="N7" s="3">
        <v>0</v>
      </c>
      <c r="O7" s="3"/>
      <c r="P7" s="1" t="s">
        <v>74</v>
      </c>
      <c r="Q7" s="1"/>
    </row>
    <row r="8" spans="2:17" x14ac:dyDescent="0.3">
      <c r="B8" s="11"/>
      <c r="C8" s="11"/>
      <c r="D8" s="11"/>
      <c r="E8" s="11"/>
      <c r="F8" s="11"/>
      <c r="G8" s="2" t="s">
        <v>69</v>
      </c>
      <c r="H8" s="3">
        <v>1</v>
      </c>
      <c r="I8" s="1" t="s">
        <v>26</v>
      </c>
      <c r="J8" s="3">
        <v>0</v>
      </c>
      <c r="K8" s="3">
        <v>1</v>
      </c>
      <c r="L8" s="3">
        <v>1</v>
      </c>
      <c r="M8" s="3">
        <v>1</v>
      </c>
      <c r="N8" s="3">
        <v>0</v>
      </c>
      <c r="O8" s="3"/>
      <c r="P8" s="1" t="s">
        <v>74</v>
      </c>
      <c r="Q8" s="1"/>
    </row>
    <row r="9" spans="2:17" x14ac:dyDescent="0.3">
      <c r="B9" s="11"/>
      <c r="C9" s="11"/>
      <c r="D9" s="11"/>
      <c r="E9" s="11"/>
      <c r="F9" s="11"/>
      <c r="G9" s="2" t="s">
        <v>70</v>
      </c>
      <c r="H9" s="3">
        <v>1</v>
      </c>
      <c r="I9" s="1" t="s">
        <v>27</v>
      </c>
      <c r="J9" s="3">
        <v>0</v>
      </c>
      <c r="K9" s="3">
        <v>1</v>
      </c>
      <c r="L9" s="3">
        <v>1</v>
      </c>
      <c r="M9" s="3">
        <v>1</v>
      </c>
      <c r="N9" s="3">
        <v>0</v>
      </c>
      <c r="O9" s="3"/>
      <c r="P9" s="1" t="s">
        <v>74</v>
      </c>
      <c r="Q9" s="1"/>
    </row>
    <row r="10" spans="2:17" x14ac:dyDescent="0.3">
      <c r="B10" s="11"/>
      <c r="C10" s="11"/>
      <c r="D10" s="11"/>
      <c r="E10" s="11"/>
      <c r="F10" s="11"/>
      <c r="G10" s="2" t="s">
        <v>71</v>
      </c>
      <c r="H10" s="3">
        <v>1</v>
      </c>
      <c r="I10" s="1" t="s">
        <v>28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/>
      <c r="P10" s="1" t="s">
        <v>74</v>
      </c>
      <c r="Q10" s="1"/>
    </row>
    <row r="11" spans="2:17" x14ac:dyDescent="0.3">
      <c r="B11" s="11"/>
      <c r="C11" s="11"/>
      <c r="D11" s="11"/>
      <c r="E11" s="11"/>
      <c r="F11" s="11"/>
      <c r="G11" s="2" t="s">
        <v>62</v>
      </c>
      <c r="H11" s="3">
        <v>1</v>
      </c>
      <c r="I11" s="1" t="s">
        <v>29</v>
      </c>
      <c r="J11" s="3">
        <v>0</v>
      </c>
      <c r="K11" s="3">
        <v>1</v>
      </c>
      <c r="L11" s="3">
        <v>0</v>
      </c>
      <c r="M11" s="3">
        <v>1</v>
      </c>
      <c r="N11" s="3">
        <v>0</v>
      </c>
      <c r="O11" s="3"/>
      <c r="P11" s="1" t="s">
        <v>74</v>
      </c>
      <c r="Q11" s="1"/>
    </row>
    <row r="12" spans="2:17" x14ac:dyDescent="0.3">
      <c r="B12" s="11"/>
      <c r="C12" s="11"/>
      <c r="D12" s="11"/>
      <c r="E12" s="11"/>
      <c r="F12" s="11"/>
      <c r="G12" s="2" t="s">
        <v>60</v>
      </c>
      <c r="H12" s="3">
        <v>1</v>
      </c>
      <c r="I12" s="1" t="s">
        <v>30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3"/>
      <c r="P12" s="1" t="s">
        <v>74</v>
      </c>
      <c r="Q12" s="1"/>
    </row>
    <row r="13" spans="2:17" x14ac:dyDescent="0.3">
      <c r="B13" s="12"/>
      <c r="C13" s="12"/>
      <c r="D13" s="12"/>
      <c r="E13" s="12"/>
      <c r="F13" s="12"/>
      <c r="G13" s="2" t="s">
        <v>72</v>
      </c>
      <c r="H13" s="3">
        <v>8</v>
      </c>
      <c r="I13" s="1" t="s">
        <v>31</v>
      </c>
      <c r="J13" s="3">
        <v>0</v>
      </c>
      <c r="K13" s="3">
        <v>255</v>
      </c>
      <c r="L13" s="3">
        <v>255</v>
      </c>
      <c r="M13" s="3" t="s">
        <v>32</v>
      </c>
      <c r="N13" s="3">
        <v>0</v>
      </c>
      <c r="O13" s="3" t="s">
        <v>33</v>
      </c>
      <c r="P13" s="1" t="s">
        <v>34</v>
      </c>
      <c r="Q13" s="1"/>
    </row>
    <row r="14" spans="2:17" x14ac:dyDescent="0.3">
      <c r="B14" s="8" t="s">
        <v>107</v>
      </c>
      <c r="C14" s="3">
        <v>10</v>
      </c>
      <c r="D14" s="3"/>
      <c r="E14" s="3" t="s">
        <v>115</v>
      </c>
      <c r="F14" s="3">
        <v>4</v>
      </c>
      <c r="G14" s="2" t="s">
        <v>19</v>
      </c>
      <c r="H14" s="3">
        <v>32</v>
      </c>
      <c r="I14" s="6" t="s">
        <v>18</v>
      </c>
      <c r="J14" s="3">
        <f>-2^31+1</f>
        <v>-2147483647</v>
      </c>
      <c r="K14" s="3">
        <f>2^31</f>
        <v>2147483648</v>
      </c>
      <c r="L14" s="3" t="s">
        <v>13</v>
      </c>
      <c r="M14" s="3" t="s">
        <v>120</v>
      </c>
      <c r="N14" s="3">
        <v>0</v>
      </c>
      <c r="O14" s="3" t="s">
        <v>119</v>
      </c>
      <c r="P14" s="1" t="s">
        <v>121</v>
      </c>
      <c r="Q14" s="1"/>
    </row>
    <row r="15" spans="2:17" x14ac:dyDescent="0.3">
      <c r="B15" s="8" t="s">
        <v>108</v>
      </c>
      <c r="C15" s="3"/>
      <c r="D15" s="3"/>
      <c r="E15" s="3" t="s">
        <v>115</v>
      </c>
      <c r="F15" s="3">
        <v>4</v>
      </c>
      <c r="G15" s="2" t="s">
        <v>19</v>
      </c>
      <c r="H15" s="3">
        <v>32</v>
      </c>
      <c r="I15" s="7" t="s">
        <v>45</v>
      </c>
      <c r="J15" s="3">
        <f>-2^31+1</f>
        <v>-2147483647</v>
      </c>
      <c r="K15" s="3">
        <f>2^31</f>
        <v>2147483648</v>
      </c>
      <c r="L15" s="3" t="s">
        <v>13</v>
      </c>
      <c r="M15" s="3">
        <v>1</v>
      </c>
      <c r="N15" s="3">
        <v>0</v>
      </c>
      <c r="O15" s="3"/>
      <c r="P15" s="1" t="s">
        <v>74</v>
      </c>
      <c r="Q15" s="1"/>
    </row>
    <row r="16" spans="2:17" x14ac:dyDescent="0.3">
      <c r="B16" s="13" t="s">
        <v>110</v>
      </c>
      <c r="C16" s="10"/>
      <c r="D16" s="10"/>
      <c r="E16" s="10" t="s">
        <v>118</v>
      </c>
      <c r="F16" s="10">
        <v>6</v>
      </c>
      <c r="G16" s="2" t="s">
        <v>58</v>
      </c>
      <c r="H16" s="3">
        <v>1</v>
      </c>
      <c r="I16" s="7" t="s">
        <v>42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/>
      <c r="P16" s="1" t="s">
        <v>100</v>
      </c>
      <c r="Q16" s="1"/>
    </row>
    <row r="17" spans="2:17" x14ac:dyDescent="0.3">
      <c r="B17" s="18"/>
      <c r="C17" s="11"/>
      <c r="D17" s="11"/>
      <c r="E17" s="11"/>
      <c r="F17" s="11"/>
      <c r="G17" s="2" t="s">
        <v>78</v>
      </c>
      <c r="H17" s="3">
        <v>1</v>
      </c>
      <c r="I17" s="7" t="s">
        <v>43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/>
      <c r="P17" s="1" t="s">
        <v>101</v>
      </c>
      <c r="Q17" s="1"/>
    </row>
    <row r="18" spans="2:17" x14ac:dyDescent="0.3">
      <c r="B18" s="18"/>
      <c r="C18" s="11"/>
      <c r="D18" s="11"/>
      <c r="E18" s="11"/>
      <c r="F18" s="11"/>
      <c r="G18" s="2" t="s">
        <v>72</v>
      </c>
      <c r="H18" s="3">
        <v>1</v>
      </c>
      <c r="I18" s="7" t="s">
        <v>44</v>
      </c>
      <c r="J18" s="3">
        <v>0</v>
      </c>
      <c r="K18" s="3">
        <v>1</v>
      </c>
      <c r="L18" s="3">
        <v>0</v>
      </c>
      <c r="M18" s="3">
        <v>1</v>
      </c>
      <c r="N18" s="3">
        <v>0</v>
      </c>
      <c r="O18" s="3"/>
      <c r="P18" s="1" t="s">
        <v>102</v>
      </c>
      <c r="Q18" s="1"/>
    </row>
    <row r="19" spans="2:17" x14ac:dyDescent="0.3">
      <c r="B19" s="18"/>
      <c r="C19" s="11"/>
      <c r="D19" s="11"/>
      <c r="E19" s="11"/>
      <c r="F19" s="11"/>
      <c r="G19" s="2" t="s">
        <v>93</v>
      </c>
      <c r="H19" s="3">
        <v>1</v>
      </c>
      <c r="I19" s="17" t="s">
        <v>125</v>
      </c>
      <c r="J19" s="3">
        <v>0</v>
      </c>
      <c r="K19" s="3">
        <v>1</v>
      </c>
      <c r="L19" s="3">
        <v>1</v>
      </c>
      <c r="M19" s="3">
        <v>1</v>
      </c>
      <c r="N19" s="3">
        <v>0</v>
      </c>
      <c r="O19" s="3"/>
      <c r="P19" s="1" t="s">
        <v>129</v>
      </c>
      <c r="Q19" s="1"/>
    </row>
    <row r="20" spans="2:17" x14ac:dyDescent="0.3">
      <c r="B20" s="18"/>
      <c r="C20" s="11"/>
      <c r="D20" s="11"/>
      <c r="E20" s="11"/>
      <c r="F20" s="11"/>
      <c r="G20" s="2" t="s">
        <v>77</v>
      </c>
      <c r="H20" s="3">
        <v>16</v>
      </c>
      <c r="I20" s="17" t="s">
        <v>126</v>
      </c>
      <c r="J20" s="3">
        <v>0</v>
      </c>
      <c r="K20" s="3">
        <v>65535</v>
      </c>
      <c r="L20" s="3">
        <v>200</v>
      </c>
      <c r="M20" s="3">
        <v>1</v>
      </c>
      <c r="N20" s="3">
        <v>0</v>
      </c>
      <c r="O20" s="3"/>
      <c r="P20" s="1" t="s">
        <v>130</v>
      </c>
      <c r="Q20" s="1"/>
    </row>
    <row r="21" spans="2:17" x14ac:dyDescent="0.3">
      <c r="B21" s="19"/>
      <c r="C21" s="12"/>
      <c r="D21" s="12"/>
      <c r="E21" s="12"/>
      <c r="F21" s="12"/>
      <c r="G21" s="2" t="s">
        <v>96</v>
      </c>
      <c r="H21" s="3">
        <v>8</v>
      </c>
      <c r="I21" s="17" t="s">
        <v>127</v>
      </c>
      <c r="J21" s="3">
        <v>0</v>
      </c>
      <c r="K21" s="3">
        <v>1</v>
      </c>
      <c r="L21" s="3">
        <v>1</v>
      </c>
      <c r="M21" s="3">
        <v>1</v>
      </c>
      <c r="N21" s="3">
        <v>0</v>
      </c>
      <c r="O21" s="3"/>
      <c r="P21" s="1" t="s">
        <v>131</v>
      </c>
      <c r="Q21" s="1"/>
    </row>
    <row r="22" spans="2:17" x14ac:dyDescent="0.3">
      <c r="B22" s="13" t="s">
        <v>109</v>
      </c>
      <c r="C22" s="10">
        <v>10</v>
      </c>
      <c r="D22" s="10" t="s">
        <v>118</v>
      </c>
      <c r="E22" s="10"/>
      <c r="F22" s="10">
        <v>8</v>
      </c>
      <c r="G22" s="2" t="s">
        <v>19</v>
      </c>
      <c r="H22" s="3">
        <v>32</v>
      </c>
      <c r="I22" s="7" t="s">
        <v>35</v>
      </c>
      <c r="J22" s="3">
        <f>-2^31+1</f>
        <v>-2147483647</v>
      </c>
      <c r="K22" s="3">
        <f>2^31</f>
        <v>2147483648</v>
      </c>
      <c r="L22" s="3" t="s">
        <v>13</v>
      </c>
      <c r="M22" s="3" t="s">
        <v>120</v>
      </c>
      <c r="N22" s="3">
        <v>0</v>
      </c>
      <c r="O22" s="3" t="s">
        <v>119</v>
      </c>
      <c r="P22" s="1" t="s">
        <v>122</v>
      </c>
      <c r="Q22" s="1"/>
    </row>
    <row r="23" spans="2:17" x14ac:dyDescent="0.3">
      <c r="B23" s="15"/>
      <c r="C23" s="12"/>
      <c r="D23" s="12"/>
      <c r="E23" s="12"/>
      <c r="F23" s="12"/>
      <c r="G23" s="2" t="s">
        <v>77</v>
      </c>
      <c r="H23" s="3">
        <v>32</v>
      </c>
      <c r="I23" s="7" t="s">
        <v>36</v>
      </c>
      <c r="J23" s="3">
        <f>-2^31+1</f>
        <v>-2147483647</v>
      </c>
      <c r="K23" s="3">
        <f>2^31</f>
        <v>2147483648</v>
      </c>
      <c r="L23" s="3" t="s">
        <v>13</v>
      </c>
      <c r="M23" s="3" t="s">
        <v>120</v>
      </c>
      <c r="N23" s="3">
        <v>0</v>
      </c>
      <c r="O23" s="3" t="s">
        <v>119</v>
      </c>
      <c r="P23" s="1" t="s">
        <v>123</v>
      </c>
      <c r="Q23" s="1"/>
    </row>
    <row r="24" spans="2:17" x14ac:dyDescent="0.3">
      <c r="B24" s="13" t="s">
        <v>111</v>
      </c>
      <c r="C24" s="10">
        <v>10</v>
      </c>
      <c r="D24" s="10" t="s">
        <v>118</v>
      </c>
      <c r="E24" s="10"/>
      <c r="F24" s="10"/>
      <c r="G24" s="2" t="s">
        <v>58</v>
      </c>
      <c r="H24" s="3">
        <v>1</v>
      </c>
      <c r="I24" s="7" t="s">
        <v>20</v>
      </c>
      <c r="J24" s="3">
        <v>0</v>
      </c>
      <c r="K24" s="3">
        <v>1</v>
      </c>
      <c r="L24" s="3"/>
      <c r="M24" s="3">
        <v>1</v>
      </c>
      <c r="N24" s="3">
        <v>0</v>
      </c>
      <c r="O24" s="3"/>
      <c r="P24" s="1" t="s">
        <v>90</v>
      </c>
      <c r="Q24" s="1"/>
    </row>
    <row r="25" spans="2:17" x14ac:dyDescent="0.3">
      <c r="B25" s="14"/>
      <c r="C25" s="11"/>
      <c r="D25" s="11"/>
      <c r="E25" s="11"/>
      <c r="F25" s="11"/>
      <c r="G25" s="2" t="s">
        <v>63</v>
      </c>
      <c r="H25" s="3">
        <v>1</v>
      </c>
      <c r="I25" s="7" t="s">
        <v>21</v>
      </c>
      <c r="J25" s="3">
        <v>0</v>
      </c>
      <c r="K25" s="3">
        <v>1</v>
      </c>
      <c r="L25" s="3"/>
      <c r="M25" s="3">
        <v>1</v>
      </c>
      <c r="N25" s="3">
        <v>0</v>
      </c>
      <c r="O25" s="3"/>
      <c r="P25" s="7" t="s">
        <v>73</v>
      </c>
      <c r="Q25" s="1"/>
    </row>
    <row r="26" spans="2:17" x14ac:dyDescent="0.3">
      <c r="B26" s="14"/>
      <c r="C26" s="11"/>
      <c r="D26" s="11"/>
      <c r="E26" s="11"/>
      <c r="F26" s="11"/>
      <c r="G26" s="2" t="s">
        <v>56</v>
      </c>
      <c r="H26" s="3">
        <v>1</v>
      </c>
      <c r="I26" s="7" t="s">
        <v>22</v>
      </c>
      <c r="J26" s="3">
        <v>0</v>
      </c>
      <c r="K26" s="3">
        <v>1</v>
      </c>
      <c r="L26" s="3"/>
      <c r="M26" s="3">
        <v>1</v>
      </c>
      <c r="N26" s="3">
        <v>0</v>
      </c>
      <c r="O26" s="3"/>
      <c r="P26" s="7" t="s">
        <v>73</v>
      </c>
      <c r="Q26" s="1"/>
    </row>
    <row r="27" spans="2:17" x14ac:dyDescent="0.3">
      <c r="B27" s="14"/>
      <c r="C27" s="11"/>
      <c r="D27" s="11"/>
      <c r="E27" s="11"/>
      <c r="F27" s="11"/>
      <c r="G27" s="2" t="s">
        <v>65</v>
      </c>
      <c r="H27" s="3">
        <v>1</v>
      </c>
      <c r="I27" s="7" t="s">
        <v>23</v>
      </c>
      <c r="J27" s="3">
        <v>0</v>
      </c>
      <c r="K27" s="3">
        <v>1</v>
      </c>
      <c r="L27" s="3"/>
      <c r="M27" s="3">
        <v>1</v>
      </c>
      <c r="N27" s="3">
        <v>0</v>
      </c>
      <c r="O27" s="3"/>
      <c r="P27" s="1" t="s">
        <v>88</v>
      </c>
      <c r="Q27" s="1"/>
    </row>
    <row r="28" spans="2:17" x14ac:dyDescent="0.3">
      <c r="B28" s="14"/>
      <c r="C28" s="11"/>
      <c r="D28" s="11"/>
      <c r="E28" s="11"/>
      <c r="F28" s="11"/>
      <c r="G28" s="2" t="s">
        <v>67</v>
      </c>
      <c r="H28" s="3">
        <v>1</v>
      </c>
      <c r="I28" s="7" t="s">
        <v>24</v>
      </c>
      <c r="J28" s="3">
        <v>0</v>
      </c>
      <c r="K28" s="3">
        <v>1</v>
      </c>
      <c r="L28" s="3"/>
      <c r="M28" s="3">
        <v>1</v>
      </c>
      <c r="N28" s="3">
        <v>0</v>
      </c>
      <c r="O28" s="3"/>
      <c r="P28" s="1" t="s">
        <v>89</v>
      </c>
      <c r="Q28" s="1"/>
    </row>
    <row r="29" spans="2:17" x14ac:dyDescent="0.3">
      <c r="B29" s="14"/>
      <c r="C29" s="11"/>
      <c r="D29" s="11"/>
      <c r="E29" s="11"/>
      <c r="F29" s="11"/>
      <c r="G29" s="2" t="s">
        <v>68</v>
      </c>
      <c r="H29" s="3">
        <v>1</v>
      </c>
      <c r="I29" s="7" t="s">
        <v>25</v>
      </c>
      <c r="J29" s="3">
        <v>0</v>
      </c>
      <c r="K29" s="3">
        <v>1</v>
      </c>
      <c r="L29" s="3"/>
      <c r="M29" s="3">
        <v>1</v>
      </c>
      <c r="N29" s="3">
        <v>0</v>
      </c>
      <c r="O29" s="3"/>
      <c r="P29" s="1" t="s">
        <v>74</v>
      </c>
      <c r="Q29" s="1"/>
    </row>
    <row r="30" spans="2:17" x14ac:dyDescent="0.3">
      <c r="B30" s="14"/>
      <c r="C30" s="11"/>
      <c r="D30" s="11"/>
      <c r="E30" s="11"/>
      <c r="F30" s="11"/>
      <c r="G30" s="2" t="s">
        <v>69</v>
      </c>
      <c r="H30" s="3">
        <v>1</v>
      </c>
      <c r="I30" s="7" t="s">
        <v>26</v>
      </c>
      <c r="J30" s="3">
        <v>0</v>
      </c>
      <c r="K30" s="3">
        <v>1</v>
      </c>
      <c r="L30" s="3"/>
      <c r="M30" s="3">
        <v>1</v>
      </c>
      <c r="N30" s="3">
        <v>0</v>
      </c>
      <c r="O30" s="3"/>
      <c r="P30" s="1" t="s">
        <v>74</v>
      </c>
      <c r="Q30" s="1"/>
    </row>
    <row r="31" spans="2:17" x14ac:dyDescent="0.3">
      <c r="B31" s="14"/>
      <c r="C31" s="11"/>
      <c r="D31" s="11"/>
      <c r="E31" s="11"/>
      <c r="F31" s="11"/>
      <c r="G31" s="2" t="s">
        <v>70</v>
      </c>
      <c r="H31" s="3">
        <v>1</v>
      </c>
      <c r="I31" s="7" t="s">
        <v>27</v>
      </c>
      <c r="J31" s="3">
        <v>0</v>
      </c>
      <c r="K31" s="3">
        <v>1</v>
      </c>
      <c r="L31" s="3"/>
      <c r="M31" s="3">
        <v>1</v>
      </c>
      <c r="N31" s="3">
        <v>0</v>
      </c>
      <c r="O31" s="3"/>
      <c r="P31" s="1" t="s">
        <v>74</v>
      </c>
      <c r="Q31" s="1"/>
    </row>
    <row r="32" spans="2:17" x14ac:dyDescent="0.3">
      <c r="B32" s="14"/>
      <c r="C32" s="11"/>
      <c r="D32" s="11"/>
      <c r="E32" s="11"/>
      <c r="F32" s="11"/>
      <c r="G32" s="2" t="s">
        <v>78</v>
      </c>
      <c r="H32" s="3">
        <v>1</v>
      </c>
      <c r="I32" s="7" t="s">
        <v>28</v>
      </c>
      <c r="J32" s="3">
        <v>0</v>
      </c>
      <c r="K32" s="3">
        <v>1</v>
      </c>
      <c r="L32" s="3"/>
      <c r="M32" s="3">
        <v>1</v>
      </c>
      <c r="N32" s="3">
        <v>0</v>
      </c>
      <c r="O32" s="3"/>
      <c r="P32" s="1" t="s">
        <v>74</v>
      </c>
      <c r="Q32" s="1"/>
    </row>
    <row r="33" spans="2:17" x14ac:dyDescent="0.3">
      <c r="B33" s="14"/>
      <c r="C33" s="11"/>
      <c r="D33" s="11"/>
      <c r="E33" s="11"/>
      <c r="F33" s="11"/>
      <c r="G33" s="2" t="s">
        <v>61</v>
      </c>
      <c r="H33" s="3">
        <v>1</v>
      </c>
      <c r="I33" s="7" t="s">
        <v>29</v>
      </c>
      <c r="J33" s="3">
        <v>0</v>
      </c>
      <c r="K33" s="3">
        <v>1</v>
      </c>
      <c r="L33" s="3"/>
      <c r="M33" s="3">
        <v>1</v>
      </c>
      <c r="N33" s="3">
        <v>0</v>
      </c>
      <c r="O33" s="3"/>
      <c r="P33" s="1" t="s">
        <v>74</v>
      </c>
      <c r="Q33" s="1"/>
    </row>
    <row r="34" spans="2:17" x14ac:dyDescent="0.3">
      <c r="B34" s="14"/>
      <c r="C34" s="11"/>
      <c r="D34" s="11"/>
      <c r="E34" s="11"/>
      <c r="F34" s="11"/>
      <c r="G34" s="2" t="s">
        <v>59</v>
      </c>
      <c r="H34" s="3">
        <v>1</v>
      </c>
      <c r="I34" s="7" t="s">
        <v>30</v>
      </c>
      <c r="J34" s="3">
        <v>0</v>
      </c>
      <c r="K34" s="3">
        <v>1</v>
      </c>
      <c r="L34" s="3"/>
      <c r="M34" s="3">
        <v>1</v>
      </c>
      <c r="N34" s="3">
        <v>0</v>
      </c>
      <c r="O34" s="3"/>
      <c r="P34" s="1" t="s">
        <v>74</v>
      </c>
      <c r="Q34" s="1"/>
    </row>
    <row r="35" spans="2:17" x14ac:dyDescent="0.3">
      <c r="B35" s="14"/>
      <c r="C35" s="11"/>
      <c r="D35" s="11"/>
      <c r="E35" s="11"/>
      <c r="F35" s="11"/>
      <c r="G35" s="2" t="s">
        <v>16</v>
      </c>
      <c r="H35" s="3">
        <v>1</v>
      </c>
      <c r="I35" s="7" t="s">
        <v>37</v>
      </c>
      <c r="J35" s="3">
        <v>0</v>
      </c>
      <c r="K35" s="3">
        <v>1</v>
      </c>
      <c r="L35" s="3"/>
      <c r="M35" s="3">
        <v>1</v>
      </c>
      <c r="N35" s="3">
        <v>0</v>
      </c>
      <c r="O35" s="3"/>
      <c r="P35" s="1" t="s">
        <v>84</v>
      </c>
      <c r="Q35" s="1"/>
    </row>
    <row r="36" spans="2:17" x14ac:dyDescent="0.3">
      <c r="B36" s="14"/>
      <c r="C36" s="11"/>
      <c r="D36" s="11"/>
      <c r="E36" s="11"/>
      <c r="F36" s="11"/>
      <c r="G36" s="2" t="s">
        <v>79</v>
      </c>
      <c r="H36" s="3">
        <v>1</v>
      </c>
      <c r="I36" s="7" t="s">
        <v>38</v>
      </c>
      <c r="J36" s="3">
        <v>0</v>
      </c>
      <c r="K36" s="3">
        <v>1</v>
      </c>
      <c r="L36" s="3"/>
      <c r="M36" s="3">
        <v>1</v>
      </c>
      <c r="N36" s="3">
        <v>0</v>
      </c>
      <c r="O36" s="3"/>
      <c r="P36" s="1" t="s">
        <v>83</v>
      </c>
      <c r="Q36" s="1"/>
    </row>
    <row r="37" spans="2:17" x14ac:dyDescent="0.3">
      <c r="B37" s="14"/>
      <c r="C37" s="11"/>
      <c r="D37" s="11"/>
      <c r="E37" s="11"/>
      <c r="F37" s="11"/>
      <c r="G37" s="2" t="s">
        <v>80</v>
      </c>
      <c r="H37" s="3">
        <v>1</v>
      </c>
      <c r="I37" s="7" t="s">
        <v>39</v>
      </c>
      <c r="J37" s="3">
        <v>0</v>
      </c>
      <c r="K37" s="3">
        <v>1</v>
      </c>
      <c r="L37" s="3"/>
      <c r="M37" s="3">
        <v>1</v>
      </c>
      <c r="N37" s="3">
        <v>0</v>
      </c>
      <c r="O37" s="3"/>
      <c r="P37" s="1" t="s">
        <v>85</v>
      </c>
      <c r="Q37" s="1"/>
    </row>
    <row r="38" spans="2:17" x14ac:dyDescent="0.3">
      <c r="B38" s="14"/>
      <c r="C38" s="11"/>
      <c r="D38" s="11"/>
      <c r="E38" s="11"/>
      <c r="F38" s="11"/>
      <c r="G38" s="2" t="s">
        <v>81</v>
      </c>
      <c r="H38" s="3">
        <v>1</v>
      </c>
      <c r="I38" s="7" t="s">
        <v>40</v>
      </c>
      <c r="J38" s="3">
        <v>0</v>
      </c>
      <c r="K38" s="3">
        <v>1</v>
      </c>
      <c r="L38" s="3"/>
      <c r="M38" s="3">
        <v>1</v>
      </c>
      <c r="N38" s="3">
        <v>0</v>
      </c>
      <c r="O38" s="3"/>
      <c r="P38" s="1" t="s">
        <v>86</v>
      </c>
      <c r="Q38" s="1"/>
    </row>
    <row r="39" spans="2:17" x14ac:dyDescent="0.3">
      <c r="B39" s="15"/>
      <c r="C39" s="12"/>
      <c r="D39" s="12"/>
      <c r="E39" s="12"/>
      <c r="F39" s="12"/>
      <c r="G39" s="2" t="s">
        <v>82</v>
      </c>
      <c r="H39" s="3">
        <v>1</v>
      </c>
      <c r="I39" s="7" t="s">
        <v>41</v>
      </c>
      <c r="J39" s="3">
        <v>0</v>
      </c>
      <c r="K39" s="3">
        <v>1</v>
      </c>
      <c r="L39" s="3"/>
      <c r="M39" s="3">
        <v>1</v>
      </c>
      <c r="N39" s="3">
        <v>0</v>
      </c>
      <c r="O39" s="3"/>
      <c r="P39" s="1" t="s">
        <v>87</v>
      </c>
      <c r="Q39" s="1"/>
    </row>
    <row r="40" spans="2:17" x14ac:dyDescent="0.3">
      <c r="B40" s="13" t="s">
        <v>112</v>
      </c>
      <c r="C40" s="16">
        <v>10</v>
      </c>
      <c r="D40" s="13" t="s">
        <v>117</v>
      </c>
      <c r="E40" s="16"/>
      <c r="F40" s="16">
        <v>8</v>
      </c>
      <c r="G40" s="2" t="s">
        <v>58</v>
      </c>
      <c r="H40" s="3">
        <v>8</v>
      </c>
      <c r="I40" s="7" t="s">
        <v>46</v>
      </c>
      <c r="J40" s="3">
        <v>0</v>
      </c>
      <c r="K40" s="3">
        <v>255</v>
      </c>
      <c r="L40" s="3"/>
      <c r="M40" s="3">
        <v>1</v>
      </c>
      <c r="N40" s="3">
        <v>0</v>
      </c>
      <c r="O40" s="3"/>
      <c r="P40" s="1" t="s">
        <v>74</v>
      </c>
      <c r="Q40" s="1"/>
    </row>
    <row r="41" spans="2:17" ht="33" x14ac:dyDescent="0.3">
      <c r="B41" s="14"/>
      <c r="C41" s="14"/>
      <c r="D41" s="14"/>
      <c r="E41" s="14"/>
      <c r="F41" s="14"/>
      <c r="G41" s="2" t="s">
        <v>78</v>
      </c>
      <c r="H41" s="3">
        <v>8</v>
      </c>
      <c r="I41" s="7" t="s">
        <v>47</v>
      </c>
      <c r="J41" s="3">
        <v>0</v>
      </c>
      <c r="K41" s="3">
        <v>255</v>
      </c>
      <c r="L41" s="3"/>
      <c r="M41" s="3">
        <v>1</v>
      </c>
      <c r="N41" s="3">
        <v>0</v>
      </c>
      <c r="O41" s="3"/>
      <c r="P41" s="1" t="s">
        <v>91</v>
      </c>
      <c r="Q41" s="6" t="s">
        <v>105</v>
      </c>
    </row>
    <row r="42" spans="2:17" x14ac:dyDescent="0.3">
      <c r="B42" s="14"/>
      <c r="C42" s="14"/>
      <c r="D42" s="14"/>
      <c r="E42" s="14"/>
      <c r="F42" s="14"/>
      <c r="G42" s="2" t="s">
        <v>72</v>
      </c>
      <c r="H42" s="3">
        <v>8</v>
      </c>
      <c r="I42" s="7" t="s">
        <v>48</v>
      </c>
      <c r="J42" s="3">
        <v>0</v>
      </c>
      <c r="K42" s="3">
        <v>255</v>
      </c>
      <c r="L42" s="3"/>
      <c r="M42" s="3">
        <v>1</v>
      </c>
      <c r="N42" s="3">
        <v>0</v>
      </c>
      <c r="O42" s="3"/>
      <c r="P42" s="1" t="s">
        <v>92</v>
      </c>
      <c r="Q42" s="1"/>
    </row>
    <row r="43" spans="2:17" x14ac:dyDescent="0.3">
      <c r="B43" s="14"/>
      <c r="C43" s="14"/>
      <c r="D43" s="14"/>
      <c r="E43" s="14"/>
      <c r="F43" s="14"/>
      <c r="G43" s="2" t="s">
        <v>93</v>
      </c>
      <c r="H43" s="3">
        <v>8</v>
      </c>
      <c r="I43" s="7" t="s">
        <v>49</v>
      </c>
      <c r="J43" s="3">
        <v>0</v>
      </c>
      <c r="K43" s="3">
        <v>255</v>
      </c>
      <c r="L43" s="3"/>
      <c r="M43" s="3">
        <v>1</v>
      </c>
      <c r="N43" s="3">
        <v>0</v>
      </c>
      <c r="O43" s="3"/>
      <c r="P43" s="1" t="s">
        <v>98</v>
      </c>
      <c r="Q43" s="1" t="s">
        <v>104</v>
      </c>
    </row>
    <row r="44" spans="2:17" ht="33" x14ac:dyDescent="0.3">
      <c r="B44" s="14"/>
      <c r="C44" s="14"/>
      <c r="D44" s="14"/>
      <c r="E44" s="14"/>
      <c r="F44" s="14"/>
      <c r="G44" s="2" t="s">
        <v>94</v>
      </c>
      <c r="H44" s="3">
        <v>8</v>
      </c>
      <c r="I44" s="7" t="s">
        <v>50</v>
      </c>
      <c r="J44" s="3">
        <v>0</v>
      </c>
      <c r="K44" s="3">
        <v>255</v>
      </c>
      <c r="L44" s="3"/>
      <c r="M44" s="3">
        <v>1</v>
      </c>
      <c r="N44" s="3">
        <v>0</v>
      </c>
      <c r="O44" s="3"/>
      <c r="P44" s="1" t="s">
        <v>99</v>
      </c>
      <c r="Q44" s="6" t="s">
        <v>105</v>
      </c>
    </row>
    <row r="45" spans="2:17" x14ac:dyDescent="0.3">
      <c r="B45" s="14"/>
      <c r="C45" s="14"/>
      <c r="D45" s="14"/>
      <c r="E45" s="14"/>
      <c r="F45" s="14"/>
      <c r="G45" s="2" t="s">
        <v>95</v>
      </c>
      <c r="H45" s="3">
        <v>8</v>
      </c>
      <c r="I45" s="7" t="s">
        <v>51</v>
      </c>
      <c r="J45" s="3">
        <v>0</v>
      </c>
      <c r="K45" s="3">
        <v>255</v>
      </c>
      <c r="L45" s="3"/>
      <c r="M45" s="3">
        <v>1</v>
      </c>
      <c r="N45" s="3">
        <v>0</v>
      </c>
      <c r="O45" s="3"/>
      <c r="P45" s="1" t="s">
        <v>97</v>
      </c>
      <c r="Q45" s="1"/>
    </row>
    <row r="46" spans="2:17" ht="165" x14ac:dyDescent="0.3">
      <c r="B46" s="15"/>
      <c r="C46" s="15"/>
      <c r="D46" s="15"/>
      <c r="E46" s="15"/>
      <c r="F46" s="15"/>
      <c r="G46" s="2" t="s">
        <v>96</v>
      </c>
      <c r="H46" s="3">
        <v>8</v>
      </c>
      <c r="I46" s="7" t="s">
        <v>52</v>
      </c>
      <c r="J46" s="3">
        <v>0</v>
      </c>
      <c r="K46" s="3">
        <v>6</v>
      </c>
      <c r="L46" s="3"/>
      <c r="M46" s="3">
        <v>1</v>
      </c>
      <c r="N46" s="3">
        <v>0</v>
      </c>
      <c r="O46" s="3"/>
      <c r="P46" s="6" t="s">
        <v>128</v>
      </c>
      <c r="Q46" s="1" t="s">
        <v>103</v>
      </c>
    </row>
    <row r="47" spans="2:17" x14ac:dyDescent="0.3">
      <c r="B47" s="13" t="s">
        <v>113</v>
      </c>
      <c r="C47" s="16"/>
      <c r="D47" s="13" t="s">
        <v>116</v>
      </c>
      <c r="E47" s="16"/>
      <c r="F47" s="16">
        <v>8</v>
      </c>
      <c r="G47" s="2" t="s">
        <v>58</v>
      </c>
      <c r="H47" s="3">
        <v>32</v>
      </c>
      <c r="I47" s="7" t="s">
        <v>53</v>
      </c>
      <c r="J47" s="3">
        <f>-2^31+1</f>
        <v>-2147483647</v>
      </c>
      <c r="K47" s="3">
        <f>2^31</f>
        <v>2147483648</v>
      </c>
      <c r="L47" s="3" t="s">
        <v>13</v>
      </c>
      <c r="M47" s="3">
        <v>1</v>
      </c>
      <c r="N47" s="3">
        <v>0</v>
      </c>
      <c r="O47" s="3"/>
      <c r="P47" s="1" t="s">
        <v>74</v>
      </c>
      <c r="Q47" s="1"/>
    </row>
    <row r="48" spans="2:17" x14ac:dyDescent="0.3">
      <c r="B48" s="15"/>
      <c r="C48" s="15"/>
      <c r="D48" s="15"/>
      <c r="E48" s="15"/>
      <c r="F48" s="15"/>
      <c r="G48" s="2" t="s">
        <v>94</v>
      </c>
      <c r="H48" s="3">
        <v>32</v>
      </c>
      <c r="I48" s="7" t="s">
        <v>54</v>
      </c>
      <c r="J48" s="3">
        <f>-2^31+1</f>
        <v>-2147483647</v>
      </c>
      <c r="K48" s="3">
        <f>2^31</f>
        <v>2147483648</v>
      </c>
      <c r="L48" s="3" t="s">
        <v>13</v>
      </c>
      <c r="M48" s="3">
        <v>1</v>
      </c>
      <c r="N48" s="3">
        <v>0</v>
      </c>
      <c r="O48" s="3"/>
      <c r="P48" s="1" t="s">
        <v>74</v>
      </c>
      <c r="Q48" s="1"/>
    </row>
    <row r="49" spans="2:17" x14ac:dyDescent="0.3">
      <c r="B49" s="9" t="s">
        <v>114</v>
      </c>
      <c r="C49" s="3"/>
      <c r="D49" s="3" t="s">
        <v>115</v>
      </c>
      <c r="E49" s="3"/>
      <c r="F49" s="3">
        <v>8</v>
      </c>
      <c r="G49" s="2" t="s">
        <v>58</v>
      </c>
      <c r="H49" s="3">
        <v>32</v>
      </c>
      <c r="I49" s="7" t="s">
        <v>55</v>
      </c>
      <c r="J49" s="3">
        <f>-2^31+1</f>
        <v>-2147483647</v>
      </c>
      <c r="K49" s="3">
        <f>2^31</f>
        <v>2147483648</v>
      </c>
      <c r="L49" s="3" t="s">
        <v>13</v>
      </c>
      <c r="M49" s="3">
        <v>1</v>
      </c>
      <c r="N49" s="3">
        <v>0</v>
      </c>
      <c r="O49" s="3"/>
      <c r="P49" s="1" t="s">
        <v>74</v>
      </c>
      <c r="Q49" s="1"/>
    </row>
    <row r="50" spans="2:17" x14ac:dyDescent="0.3">
      <c r="B50" s="20" t="s">
        <v>132</v>
      </c>
      <c r="C50" s="16"/>
      <c r="D50" s="13" t="s">
        <v>116</v>
      </c>
      <c r="E50" s="16"/>
      <c r="F50" s="16">
        <v>8</v>
      </c>
      <c r="G50" s="2" t="s">
        <v>19</v>
      </c>
      <c r="H50" s="3">
        <v>32</v>
      </c>
      <c r="I50" s="17" t="s">
        <v>133</v>
      </c>
      <c r="J50" s="3">
        <f>-2^31+1</f>
        <v>-2147483647</v>
      </c>
      <c r="K50" s="3">
        <f>2^31</f>
        <v>2147483648</v>
      </c>
      <c r="L50" s="3">
        <v>0</v>
      </c>
      <c r="M50" s="3">
        <v>1</v>
      </c>
      <c r="N50" s="3">
        <v>0</v>
      </c>
      <c r="O50" s="3"/>
      <c r="P50" s="1" t="s">
        <v>135</v>
      </c>
      <c r="Q50" s="1"/>
    </row>
    <row r="51" spans="2:17" x14ac:dyDescent="0.3">
      <c r="B51" s="15"/>
      <c r="C51" s="15"/>
      <c r="D51" s="15"/>
      <c r="E51" s="15"/>
      <c r="F51" s="15"/>
      <c r="G51" s="2" t="s">
        <v>77</v>
      </c>
      <c r="H51" s="3">
        <v>32</v>
      </c>
      <c r="I51" s="17" t="s">
        <v>134</v>
      </c>
      <c r="J51" s="3">
        <f>-2^31+1</f>
        <v>-2147483647</v>
      </c>
      <c r="K51" s="3">
        <f>2^31</f>
        <v>2147483648</v>
      </c>
      <c r="L51" s="3">
        <v>6000</v>
      </c>
      <c r="M51" s="3">
        <v>1</v>
      </c>
      <c r="N51" s="3">
        <v>0</v>
      </c>
      <c r="O51" s="3"/>
      <c r="P51" s="1" t="s">
        <v>136</v>
      </c>
      <c r="Q51" s="1"/>
    </row>
  </sheetData>
  <mergeCells count="35">
    <mergeCell ref="B50:B51"/>
    <mergeCell ref="C50:C51"/>
    <mergeCell ref="D50:D51"/>
    <mergeCell ref="E50:E51"/>
    <mergeCell ref="F50:F51"/>
    <mergeCell ref="E40:E46"/>
    <mergeCell ref="F40:F46"/>
    <mergeCell ref="C47:C48"/>
    <mergeCell ref="D47:D48"/>
    <mergeCell ref="E47:E48"/>
    <mergeCell ref="F47:F48"/>
    <mergeCell ref="B40:B46"/>
    <mergeCell ref="B2:B13"/>
    <mergeCell ref="B47:B48"/>
    <mergeCell ref="C22:C23"/>
    <mergeCell ref="D22:D23"/>
    <mergeCell ref="C24:C39"/>
    <mergeCell ref="D24:D39"/>
    <mergeCell ref="C40:C46"/>
    <mergeCell ref="D40:D46"/>
    <mergeCell ref="D16:D21"/>
    <mergeCell ref="C16:C21"/>
    <mergeCell ref="B16:B21"/>
    <mergeCell ref="C2:C13"/>
    <mergeCell ref="D2:D13"/>
    <mergeCell ref="E2:E13"/>
    <mergeCell ref="F2:F13"/>
    <mergeCell ref="B24:B39"/>
    <mergeCell ref="B22:B23"/>
    <mergeCell ref="E22:E23"/>
    <mergeCell ref="F22:F23"/>
    <mergeCell ref="E24:E39"/>
    <mergeCell ref="F24:F39"/>
    <mergeCell ref="F16:F21"/>
    <mergeCell ref="E16:E2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ADA-B 브레이크 액츄에이터 컨트롤러 CAN통신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RBC</dc:creator>
  <cp:lastModifiedBy>Windows User</cp:lastModifiedBy>
  <dcterms:created xsi:type="dcterms:W3CDTF">2015-06-05T18:19:34Z</dcterms:created>
  <dcterms:modified xsi:type="dcterms:W3CDTF">2023-01-13T08:13:30Z</dcterms:modified>
</cp:coreProperties>
</file>